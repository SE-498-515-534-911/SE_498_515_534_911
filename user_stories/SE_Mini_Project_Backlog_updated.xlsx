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Sprint summary" sheetId="3" state="visible" r:id="rId3"/>
    <sheet xmlns:r="http://schemas.openxmlformats.org/officeDocument/2006/relationships" name="Owner changes" sheetId="4" state="visible" r:id="rId4"/>
    <sheet xmlns:r="http://schemas.openxmlformats.org/officeDocument/2006/relationships" name="Removed" sheetId="5" state="visible" r:id="rId5"/>
  </sheets>
  <definedNames>
    <definedName name="_xlnm._FilterDatabase" localSheetId="0" hidden="1">'Backlog'!$A$1:$K$40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2"/>
    <col width="11" customWidth="1" style="9" min="3" max="3"/>
    <col width="34" customWidth="1" style="9" min="4" max="4"/>
    <col width="36" customWidth="1" style="9" min="5" max="5"/>
    <col width="18" customWidth="1" style="9" min="6" max="6"/>
    <col width="10" customWidth="1" style="9" min="7" max="8"/>
    <col width="20" customWidth="1" style="9" min="9" max="9"/>
    <col width="22" customWidth="1" style="9" min="10" max="10"/>
    <col width="11" customWidth="1" style="9" min="11" max="11"/>
    <col width="70" customWidth="1" style="10" min="12" max="12"/>
  </cols>
  <sheetData>
    <row r="1" ht="30" customHeight="1" s="10">
      <c r="A1" s="11" t="inlineStr">
        <is>
          <t>Story ID</t>
        </is>
      </c>
      <c r="B1" s="11" t="inlineStr">
        <is>
          <t>Old ID</t>
        </is>
      </c>
      <c r="C1" s="11" t="inlineStr">
        <is>
          <t>Epic</t>
        </is>
      </c>
      <c r="D1" s="11" t="inlineStr">
        <is>
          <t>Epic name</t>
        </is>
      </c>
      <c r="E1" s="11" t="inlineStr">
        <is>
          <t>Story</t>
        </is>
      </c>
      <c r="F1" s="11" t="inlineStr">
        <is>
          <t>Requirement</t>
        </is>
      </c>
      <c r="G1" s="11" t="inlineStr">
        <is>
          <t>Story points</t>
        </is>
      </c>
      <c r="H1" s="11" t="inlineStr">
        <is>
          <t>Sprint</t>
        </is>
      </c>
      <c r="I1" s="11" t="inlineStr">
        <is>
          <t>Owner</t>
        </is>
      </c>
      <c r="J1" s="11" t="inlineStr">
        <is>
          <t>GitHub username</t>
        </is>
      </c>
      <c r="K1" s="11" t="inlineStr">
        <is>
          <t>Status</t>
        </is>
      </c>
      <c r="L1" s="11" t="inlineStr">
        <is>
          <t>Branch / evidence</t>
        </is>
      </c>
    </row>
    <row r="2" ht="15" customHeight="1" s="10">
      <c r="A2" s="12" t="inlineStr">
        <is>
          <t>US-01</t>
        </is>
      </c>
      <c r="B2" s="12" t="inlineStr">
        <is>
          <t>US-07</t>
        </is>
      </c>
      <c r="C2" s="12" t="inlineStr">
        <is>
          <t>WBMME-1</t>
        </is>
      </c>
      <c r="D2" s="12" t="inlineStr">
        <is>
          <t>Data Workspace</t>
        </is>
      </c>
      <c r="E2" s="12" t="inlineStr">
        <is>
          <t>Upload a CSV dataset</t>
        </is>
      </c>
      <c r="F2" s="12" t="inlineStr">
        <is>
          <t>MLE-F-003</t>
        </is>
      </c>
      <c r="G2" s="13" t="n">
        <v>5</v>
      </c>
      <c r="H2" s="12" t="inlineStr">
        <is>
          <t>Sprint 1</t>
        </is>
      </c>
      <c r="I2" s="12" t="inlineStr">
        <is>
          <t>Vikas (Member 4)</t>
        </is>
      </c>
      <c r="J2" s="12" t="inlineStr">
        <is>
          <t>vikasvittalaihole</t>
        </is>
      </c>
      <c r="K2" s="12" t="inlineStr">
        <is>
          <t>To Do</t>
        </is>
      </c>
    </row>
    <row r="3" ht="15" customHeight="1" s="10">
      <c r="A3" s="12" t="inlineStr">
        <is>
          <t>US-02</t>
        </is>
      </c>
      <c r="B3" s="12" t="inlineStr">
        <is>
          <t>US-08</t>
        </is>
      </c>
      <c r="C3" s="12" t="inlineStr">
        <is>
          <t>WBMME-1</t>
        </is>
      </c>
      <c r="D3" s="12" t="inlineStr">
        <is>
          <t>Data Workspace</t>
        </is>
      </c>
      <c r="E3" s="12" t="inlineStr">
        <is>
          <t>Upload validation</t>
        </is>
      </c>
      <c r="F3" s="12" t="inlineStr">
        <is>
          <t>MLE-SR-003</t>
        </is>
      </c>
      <c r="G3" s="13" t="n">
        <v>3</v>
      </c>
      <c r="H3" s="12" t="inlineStr">
        <is>
          <t>Sprint 1</t>
        </is>
      </c>
      <c r="I3" s="12" t="inlineStr">
        <is>
          <t>Vikas (Member 4)</t>
        </is>
      </c>
      <c r="J3" s="12" t="inlineStr">
        <is>
          <t>vikasvittalaihole</t>
        </is>
      </c>
      <c r="K3" s="12" t="inlineStr">
        <is>
          <t>To Do</t>
        </is>
      </c>
    </row>
    <row r="4" ht="15" customHeight="1" s="10">
      <c r="A4" s="12" t="inlineStr">
        <is>
          <t>US-03</t>
        </is>
      </c>
      <c r="B4" s="12" t="inlineStr">
        <is>
          <t>US-09</t>
        </is>
      </c>
      <c r="C4" s="12" t="inlineStr">
        <is>
          <t>WBMME-1</t>
        </is>
      </c>
      <c r="D4" s="12" t="inlineStr">
        <is>
          <t>Data Workspace</t>
        </is>
      </c>
      <c r="E4" s="12" t="inlineStr">
        <is>
          <t>Preview and profile a dataset</t>
        </is>
      </c>
      <c r="F4" s="12" t="inlineStr">
        <is>
          <t>MLE-F-004</t>
        </is>
      </c>
      <c r="G4" s="13" t="n">
        <v>3</v>
      </c>
      <c r="H4" s="12" t="inlineStr">
        <is>
          <t>Sprint 1</t>
        </is>
      </c>
      <c r="I4" s="12" t="inlineStr">
        <is>
          <t>Vikas (Member 4)</t>
        </is>
      </c>
      <c r="J4" s="12" t="inlineStr">
        <is>
          <t>vikasvittalaihole</t>
        </is>
      </c>
      <c r="K4" s="12" t="inlineStr">
        <is>
          <t>To Do</t>
        </is>
      </c>
    </row>
    <row r="5" ht="15" customHeight="1" s="10">
      <c r="A5" s="12" t="inlineStr">
        <is>
          <t>US-04</t>
        </is>
      </c>
      <c r="B5" s="12" t="inlineStr">
        <is>
          <t>US-10</t>
        </is>
      </c>
      <c r="C5" s="12" t="inlineStr">
        <is>
          <t>WBMME-1</t>
        </is>
      </c>
      <c r="D5" s="12" t="inlineStr">
        <is>
          <t>Data Workspace</t>
        </is>
      </c>
      <c r="E5" s="12" t="inlineStr">
        <is>
          <t>Prepare data</t>
        </is>
      </c>
      <c r="F5" s="12" t="inlineStr">
        <is>
          <t>MLE-F-005</t>
        </is>
      </c>
      <c r="G5" s="13" t="n">
        <v>5</v>
      </c>
      <c r="H5" s="12" t="inlineStr">
        <is>
          <t>Sprint 1</t>
        </is>
      </c>
      <c r="I5" s="12" t="inlineStr">
        <is>
          <t>Vikas (Member 4)</t>
        </is>
      </c>
      <c r="J5" s="12" t="inlineStr">
        <is>
          <t>vikasvittalaihole</t>
        </is>
      </c>
      <c r="K5" s="12" t="inlineStr">
        <is>
          <t>To Do</t>
        </is>
      </c>
    </row>
    <row r="6" ht="15" customHeight="1" s="10">
      <c r="A6" s="12" t="inlineStr">
        <is>
          <t>US-05</t>
        </is>
      </c>
      <c r="B6" s="12" t="inlineStr">
        <is>
          <t>US-11</t>
        </is>
      </c>
      <c r="C6" s="12" t="inlineStr">
        <is>
          <t>WBMME-1</t>
        </is>
      </c>
      <c r="D6" s="12" t="inlineStr">
        <is>
          <t>Data Workspace</t>
        </is>
      </c>
      <c r="E6" s="12" t="inlineStr">
        <is>
          <t>Configure train/test split</t>
        </is>
      </c>
      <c r="F6" s="12" t="inlineStr">
        <is>
          <t>MLE-F-006</t>
        </is>
      </c>
      <c r="G6" s="13" t="n">
        <v>3</v>
      </c>
      <c r="H6" s="12" t="inlineStr">
        <is>
          <t>Sprint 1</t>
        </is>
      </c>
      <c r="I6" s="12" t="inlineStr">
        <is>
          <t>Vikas (Member 4)</t>
        </is>
      </c>
      <c r="J6" s="12" t="inlineStr">
        <is>
          <t>vikasvittalaihole</t>
        </is>
      </c>
      <c r="K6" s="12" t="inlineStr">
        <is>
          <t>To Do</t>
        </is>
      </c>
    </row>
    <row r="7" ht="15" customHeight="1" s="10">
      <c r="A7" s="12" t="inlineStr">
        <is>
          <t>US-06</t>
        </is>
      </c>
      <c r="B7" s="12" t="inlineStr">
        <is>
          <t>US-13</t>
        </is>
      </c>
      <c r="C7" s="12" t="inlineStr">
        <is>
          <t>WBMME-2</t>
        </is>
      </c>
      <c r="D7" s="12" t="inlineStr">
        <is>
          <t>Model Training &amp; Selection</t>
        </is>
      </c>
      <c r="E7" s="12" t="inlineStr">
        <is>
          <t>Model catalogue</t>
        </is>
      </c>
      <c r="F7" s="12" t="inlineStr">
        <is>
          <t>MLE-F-007</t>
        </is>
      </c>
      <c r="G7" s="13" t="n">
        <v>3</v>
      </c>
      <c r="H7" s="12" t="inlineStr">
        <is>
          <t>Sprint 1</t>
        </is>
      </c>
      <c r="I7" s="12" t="inlineStr">
        <is>
          <t>Varnika (Member 2)</t>
        </is>
      </c>
      <c r="J7" s="12" t="inlineStr">
        <is>
          <t>varnikasadineni</t>
        </is>
      </c>
      <c r="K7" s="12" t="inlineStr">
        <is>
          <t>Done (pending PR review)</t>
        </is>
      </c>
      <c r="L7" s="12" t="inlineStr">
        <is>
          <t>feature/us-06-model-catalogue | 23 tests; 1 commit</t>
        </is>
      </c>
    </row>
    <row r="8" ht="15" customHeight="1" s="10">
      <c r="A8" s="12" t="inlineStr">
        <is>
          <t>US-07</t>
        </is>
      </c>
      <c r="B8" s="12" t="inlineStr">
        <is>
          <t>US-14</t>
        </is>
      </c>
      <c r="C8" s="12" t="inlineStr">
        <is>
          <t>WBMME-2</t>
        </is>
      </c>
      <c r="D8" s="12" t="inlineStr">
        <is>
          <t>Model Training &amp; Selection</t>
        </is>
      </c>
      <c r="E8" s="12" t="inlineStr">
        <is>
          <t>Set hyperparameters</t>
        </is>
      </c>
      <c r="F8" s="12" t="inlineStr">
        <is>
          <t>MLE-F-008</t>
        </is>
      </c>
      <c r="G8" s="13" t="n">
        <v>5</v>
      </c>
      <c r="H8" s="12" t="inlineStr">
        <is>
          <t>Sprint 1</t>
        </is>
      </c>
      <c r="I8" s="12" t="inlineStr">
        <is>
          <t>Varnika (Member 2)</t>
        </is>
      </c>
      <c r="J8" s="12" t="inlineStr">
        <is>
          <t>varnikasadineni</t>
        </is>
      </c>
      <c r="K8" s="12" t="inlineStr">
        <is>
          <t>Done (pending PR review)</t>
        </is>
      </c>
      <c r="L8" s="12" t="inlineStr">
        <is>
          <t>feature/us-07-hyperparameters | 52 tests (cumulative)</t>
        </is>
      </c>
    </row>
    <row r="9" ht="15" customHeight="1" s="10">
      <c r="A9" s="12" t="inlineStr">
        <is>
          <t>US-08</t>
        </is>
      </c>
      <c r="B9" s="12" t="inlineStr">
        <is>
          <t>US-15</t>
        </is>
      </c>
      <c r="C9" s="12" t="inlineStr">
        <is>
          <t>WBMME-2</t>
        </is>
      </c>
      <c r="D9" s="12" t="inlineStr">
        <is>
          <t>Model Training &amp; Selection</t>
        </is>
      </c>
      <c r="E9" s="12" t="inlineStr">
        <is>
          <t>Train as a background job</t>
        </is>
      </c>
      <c r="F9" s="12" t="inlineStr">
        <is>
          <t>MLE-F-009</t>
        </is>
      </c>
      <c r="G9" s="13" t="n">
        <v>8</v>
      </c>
      <c r="H9" s="12" t="inlineStr">
        <is>
          <t>Sprint 1</t>
        </is>
      </c>
      <c r="I9" s="12" t="inlineStr">
        <is>
          <t>Varnika (Member 2)</t>
        </is>
      </c>
      <c r="J9" s="12" t="inlineStr">
        <is>
          <t>varnikasadineni</t>
        </is>
      </c>
      <c r="K9" s="12" t="inlineStr">
        <is>
          <t>Done (pending PR review)</t>
        </is>
      </c>
      <c r="L9" s="12" t="inlineStr">
        <is>
          <t>feature/us-08-background-training | 95 tests (cumulative)</t>
        </is>
      </c>
    </row>
    <row r="10" ht="15" customHeight="1" s="10">
      <c r="A10" s="12" t="inlineStr">
        <is>
          <t>US-09</t>
        </is>
      </c>
      <c r="B10" s="12" t="inlineStr">
        <is>
          <t>US-16</t>
        </is>
      </c>
      <c r="C10" s="12" t="inlineStr">
        <is>
          <t>WBMME-2</t>
        </is>
      </c>
      <c r="D10" s="12" t="inlineStr">
        <is>
          <t>Model Training &amp; Selection</t>
        </is>
      </c>
      <c r="E10" s="12" t="inlineStr">
        <is>
          <t>Safe model artifacts</t>
        </is>
      </c>
      <c r="F10" s="12" t="inlineStr">
        <is>
          <t>MLE-SR-004</t>
        </is>
      </c>
      <c r="G10" s="13" t="n">
        <v>3</v>
      </c>
      <c r="H10" s="12" t="inlineStr">
        <is>
          <t>Sprint 1</t>
        </is>
      </c>
      <c r="I10" s="12" t="inlineStr">
        <is>
          <t>Tejas (Member 3)</t>
        </is>
      </c>
      <c r="J10" s="12" t="inlineStr">
        <is>
          <t>TejasPonnappa</t>
        </is>
      </c>
      <c r="K10" s="12" t="inlineStr">
        <is>
          <t>To Do</t>
        </is>
      </c>
    </row>
    <row r="11" ht="15" customHeight="1" s="10">
      <c r="A11" s="12" t="inlineStr">
        <is>
          <t>US-10</t>
        </is>
      </c>
      <c r="B11" s="12" t="inlineStr">
        <is>
          <t>US-19</t>
        </is>
      </c>
      <c r="C11" s="12" t="inlineStr">
        <is>
          <t>WBMME-3</t>
        </is>
      </c>
      <c r="D11" s="12" t="inlineStr">
        <is>
          <t>Evaluation &amp; Explainability</t>
        </is>
      </c>
      <c r="E11" s="12" t="inlineStr">
        <is>
          <t>Evaluation metrics</t>
        </is>
      </c>
      <c r="F11" s="12" t="inlineStr">
        <is>
          <t>MLE-F-010</t>
        </is>
      </c>
      <c r="G11" s="13" t="n">
        <v>5</v>
      </c>
      <c r="H11" s="12" t="inlineStr">
        <is>
          <t>Sprint 1</t>
        </is>
      </c>
      <c r="I11" s="12" t="inlineStr">
        <is>
          <t>Tejas (Member 3)</t>
        </is>
      </c>
      <c r="J11" s="12" t="inlineStr">
        <is>
          <t>TejasPonnappa</t>
        </is>
      </c>
      <c r="K11" s="12" t="inlineStr">
        <is>
          <t>To Do</t>
        </is>
      </c>
    </row>
    <row r="12" ht="15" customHeight="1" s="10">
      <c r="A12" s="12" t="inlineStr">
        <is>
          <t>US-11</t>
        </is>
      </c>
      <c r="B12" s="12" t="inlineStr">
        <is>
          <t>US-26</t>
        </is>
      </c>
      <c r="C12" s="12" t="inlineStr">
        <is>
          <t>WBMME-5</t>
        </is>
      </c>
      <c r="D12" s="12" t="inlineStr">
        <is>
          <t>Testing &amp; Validation</t>
        </is>
      </c>
      <c r="E12" s="12" t="inlineStr">
        <is>
          <t>Unit tests for core services</t>
        </is>
      </c>
      <c r="F12" s="12" t="inlineStr">
        <is>
          <t>Test Plan 5</t>
        </is>
      </c>
      <c r="G12" s="13" t="n">
        <v>5</v>
      </c>
      <c r="H12" s="12" t="inlineStr">
        <is>
          <t>Sprint 1</t>
        </is>
      </c>
      <c r="I12" s="12" t="inlineStr">
        <is>
          <t>Varnika (Member 2)</t>
        </is>
      </c>
      <c r="J12" s="12" t="inlineStr">
        <is>
          <t>varnikasadineni</t>
        </is>
      </c>
      <c r="K12" s="12" t="inlineStr">
        <is>
          <t>Done (pending PR review)</t>
        </is>
      </c>
      <c r="L12" s="12" t="inlineStr">
        <is>
          <t>feature/us-11-unit-tests | 139 tests (cumulative)</t>
        </is>
      </c>
    </row>
    <row r="13" ht="15" customHeight="1" s="10">
      <c r="A13" s="12" t="inlineStr">
        <is>
          <t>US-12</t>
        </is>
      </c>
      <c r="B13" s="12" t="inlineStr">
        <is>
          <t>US-31</t>
        </is>
      </c>
      <c r="C13" s="12" t="inlineStr">
        <is>
          <t>WBMME-6</t>
        </is>
      </c>
      <c r="D13" s="12" t="inlineStr">
        <is>
          <t>CI/CD, Security &amp; Deployment</t>
        </is>
      </c>
      <c r="E13" s="12" t="inlineStr">
        <is>
          <t>CI pipeline</t>
        </is>
      </c>
      <c r="F13" s="12" t="inlineStr">
        <is>
          <t>Part-2 Sprint 1</t>
        </is>
      </c>
      <c r="G13" s="13" t="n">
        <v>5</v>
      </c>
      <c r="H13" s="12" t="inlineStr">
        <is>
          <t>Sprint 1</t>
        </is>
      </c>
      <c r="I13" s="12" t="inlineStr">
        <is>
          <t>Soumya (Member 1)</t>
        </is>
      </c>
      <c r="J13" s="12" t="inlineStr">
        <is>
          <t>KOTRASAISOUMYASRI</t>
        </is>
      </c>
      <c r="K13" s="12" t="inlineStr">
        <is>
          <t>To Do</t>
        </is>
      </c>
    </row>
    <row r="14" ht="15" customHeight="1" s="10">
      <c r="A14" s="12" t="inlineStr">
        <is>
          <t>US-13</t>
        </is>
      </c>
      <c r="B14" s="12" t="inlineStr">
        <is>
          <t>US-35</t>
        </is>
      </c>
      <c r="C14" s="12" t="inlineStr">
        <is>
          <t>WBMME-7</t>
        </is>
      </c>
      <c r="D14" s="12" t="inlineStr">
        <is>
          <t>Final Documentation &amp; Demonstration</t>
        </is>
      </c>
      <c r="E14" s="12" t="inlineStr">
        <is>
          <t>Sprint 1 demo video</t>
        </is>
      </c>
      <c r="F14" s="12" t="inlineStr">
        <is>
          <t>Part-2 Sprint 1</t>
        </is>
      </c>
      <c r="G14" s="13" t="n">
        <v>2</v>
      </c>
      <c r="H14" s="12" t="inlineStr">
        <is>
          <t>Sprint 1</t>
        </is>
      </c>
      <c r="I14" s="12" t="inlineStr">
        <is>
          <t>Soumya (Member 1)</t>
        </is>
      </c>
      <c r="J14" s="12" t="inlineStr">
        <is>
          <t>KOTRASAISOUMYASRI</t>
        </is>
      </c>
      <c r="K14" s="12" t="inlineStr">
        <is>
          <t>To Do</t>
        </is>
      </c>
    </row>
    <row r="15" ht="15" customHeight="1" s="10">
      <c r="A15" s="12" t="inlineStr">
        <is>
          <t>US-14</t>
        </is>
      </c>
      <c r="B15" s="12" t="inlineStr">
        <is>
          <t>US-38</t>
        </is>
      </c>
      <c r="C15" s="12" t="inlineStr">
        <is>
          <t>WBMME-8</t>
        </is>
      </c>
      <c r="D15" s="12" t="inlineStr">
        <is>
          <t>Core Platform &amp; Security</t>
        </is>
      </c>
      <c r="E15" s="12" t="inlineStr">
        <is>
          <t>Django project skeleton</t>
        </is>
      </c>
      <c r="F15" s="12" t="inlineStr">
        <is>
          <t>SAD 3.5, 3.6</t>
        </is>
      </c>
      <c r="G15" s="13" t="n">
        <v>3</v>
      </c>
      <c r="H15" s="12" t="inlineStr">
        <is>
          <t>Sprint 1</t>
        </is>
      </c>
      <c r="I15" s="12" t="inlineStr">
        <is>
          <t>Soumya (Member 1)</t>
        </is>
      </c>
      <c r="J15" s="12" t="inlineStr">
        <is>
          <t>KOTRASAISOUMYASRI</t>
        </is>
      </c>
      <c r="K15" s="12" t="inlineStr">
        <is>
          <t>To Do</t>
        </is>
      </c>
    </row>
    <row r="16" ht="15" customHeight="1" s="10">
      <c r="A16" s="12" t="inlineStr">
        <is>
          <t>US-15</t>
        </is>
      </c>
      <c r="B16" s="12" t="inlineStr">
        <is>
          <t>US-39</t>
        </is>
      </c>
      <c r="C16" s="12" t="inlineStr">
        <is>
          <t>WBMME-8</t>
        </is>
      </c>
      <c r="D16" s="12" t="inlineStr">
        <is>
          <t>Core Platform &amp; Security</t>
        </is>
      </c>
      <c r="E16" s="12" t="inlineStr">
        <is>
          <t>Register and log in</t>
        </is>
      </c>
      <c r="F16" s="12" t="inlineStr">
        <is>
          <t>MLE-F-001</t>
        </is>
      </c>
      <c r="G16" s="13" t="n">
        <v>5</v>
      </c>
      <c r="H16" s="12" t="inlineStr">
        <is>
          <t>Sprint 1</t>
        </is>
      </c>
      <c r="I16" s="12" t="inlineStr">
        <is>
          <t>Tejas (Member 3)</t>
        </is>
      </c>
      <c r="J16" s="12" t="inlineStr">
        <is>
          <t>TejasPonnappa</t>
        </is>
      </c>
      <c r="K16" s="12" t="inlineStr">
        <is>
          <t>To Do</t>
        </is>
      </c>
    </row>
    <row r="17" ht="15" customHeight="1" s="10">
      <c r="A17" s="12" t="inlineStr">
        <is>
          <t>US-16</t>
        </is>
      </c>
      <c r="B17" s="12" t="inlineStr">
        <is>
          <t>US-40</t>
        </is>
      </c>
      <c r="C17" s="12" t="inlineStr">
        <is>
          <t>WBMME-8</t>
        </is>
      </c>
      <c r="D17" s="12" t="inlineStr">
        <is>
          <t>Core Platform &amp; Security</t>
        </is>
      </c>
      <c r="E17" s="12" t="inlineStr">
        <is>
          <t>Password hashing</t>
        </is>
      </c>
      <c r="F17" s="12" t="inlineStr">
        <is>
          <t>MLE-SR-001</t>
        </is>
      </c>
      <c r="G17" s="13" t="n">
        <v>2</v>
      </c>
      <c r="H17" s="12" t="inlineStr">
        <is>
          <t>Sprint 1</t>
        </is>
      </c>
      <c r="I17" s="12" t="inlineStr">
        <is>
          <t>Soumya (Member 1)</t>
        </is>
      </c>
      <c r="J17" s="12" t="inlineStr">
        <is>
          <t>KOTRASAISOUMYASRI</t>
        </is>
      </c>
      <c r="K17" s="12" t="inlineStr">
        <is>
          <t>To Do</t>
        </is>
      </c>
    </row>
    <row r="18" ht="15" customHeight="1" s="10">
      <c r="A18" s="12" t="inlineStr">
        <is>
          <t>US-17</t>
        </is>
      </c>
      <c r="B18" s="12" t="inlineStr">
        <is>
          <t>US-41</t>
        </is>
      </c>
      <c r="C18" s="12" t="inlineStr">
        <is>
          <t>WBMME-8</t>
        </is>
      </c>
      <c r="D18" s="12" t="inlineStr">
        <is>
          <t>Core Platform &amp; Security</t>
        </is>
      </c>
      <c r="E18" s="12" t="inlineStr">
        <is>
          <t>Role-based access</t>
        </is>
      </c>
      <c r="F18" s="12" t="inlineStr">
        <is>
          <t>MLE-F-002</t>
        </is>
      </c>
      <c r="G18" s="13" t="n">
        <v>5</v>
      </c>
      <c r="H18" s="12" t="inlineStr">
        <is>
          <t>Sprint 1</t>
        </is>
      </c>
      <c r="I18" s="12" t="inlineStr">
        <is>
          <t>Tejas (Member 3)</t>
        </is>
      </c>
      <c r="J18" s="12" t="inlineStr">
        <is>
          <t>TejasPonnappa</t>
        </is>
      </c>
      <c r="K18" s="12" t="inlineStr">
        <is>
          <t>To Do</t>
        </is>
      </c>
    </row>
    <row r="19" ht="15" customHeight="1" s="10">
      <c r="A19" s="12" t="inlineStr">
        <is>
          <t>US-18</t>
        </is>
      </c>
      <c r="B19" s="12" t="inlineStr">
        <is>
          <t>US-42</t>
        </is>
      </c>
      <c r="C19" s="12" t="inlineStr">
        <is>
          <t>WBMME-8</t>
        </is>
      </c>
      <c r="D19" s="12" t="inlineStr">
        <is>
          <t>Core Platform &amp; Security</t>
        </is>
      </c>
      <c r="E19" s="12" t="inlineStr">
        <is>
          <t>Sessions and login protection</t>
        </is>
      </c>
      <c r="F19" s="12" t="inlineStr">
        <is>
          <t>MLE-SR-007</t>
        </is>
      </c>
      <c r="G19" s="13" t="n">
        <v>5</v>
      </c>
      <c r="H19" s="12" t="inlineStr">
        <is>
          <t>Sprint 1</t>
        </is>
      </c>
      <c r="I19" s="12" t="inlineStr">
        <is>
          <t>Soumya (Member 1)</t>
        </is>
      </c>
      <c r="J19" s="12" t="inlineStr">
        <is>
          <t>KOTRASAISOUMYASRI</t>
        </is>
      </c>
      <c r="K19" s="12" t="inlineStr">
        <is>
          <t>To Do</t>
        </is>
      </c>
    </row>
    <row r="20" ht="15" customHeight="1" s="10">
      <c r="A20" s="12" t="inlineStr">
        <is>
          <t>US-19</t>
        </is>
      </c>
      <c r="B20" s="12" t="inlineStr">
        <is>
          <t>US-12</t>
        </is>
      </c>
      <c r="C20" s="12" t="inlineStr">
        <is>
          <t>WBMME-1</t>
        </is>
      </c>
      <c r="D20" s="12" t="inlineStr">
        <is>
          <t>Data Workspace</t>
        </is>
      </c>
      <c r="E20" s="12" t="inlineStr">
        <is>
          <t>Upload speed target</t>
        </is>
      </c>
      <c r="F20" s="12" t="inlineStr">
        <is>
          <t>MLE-NF-001</t>
        </is>
      </c>
      <c r="G20" s="13" t="n">
        <v>3</v>
      </c>
      <c r="H20" s="12" t="inlineStr">
        <is>
          <t>Sprint 2</t>
        </is>
      </c>
      <c r="I20" s="12" t="inlineStr">
        <is>
          <t>Vikas (Member 4)</t>
        </is>
      </c>
      <c r="J20" s="12" t="inlineStr">
        <is>
          <t>vikasvittalaihole</t>
        </is>
      </c>
      <c r="K20" s="12" t="inlineStr">
        <is>
          <t>To Do</t>
        </is>
      </c>
    </row>
    <row r="21" ht="15" customHeight="1" s="10">
      <c r="A21" s="12" t="inlineStr">
        <is>
          <t>US-20</t>
        </is>
      </c>
      <c r="B21" s="12" t="inlineStr">
        <is>
          <t>US-17</t>
        </is>
      </c>
      <c r="C21" s="12" t="inlineStr">
        <is>
          <t>WBMME-2</t>
        </is>
      </c>
      <c r="D21" s="12" t="inlineStr">
        <is>
          <t>Model Training &amp; Selection</t>
        </is>
      </c>
      <c r="E21" s="12" t="inlineStr">
        <is>
          <t>Training speed target</t>
        </is>
      </c>
      <c r="F21" s="12" t="inlineStr">
        <is>
          <t>MLE-NF-002</t>
        </is>
      </c>
      <c r="G21" s="13" t="n">
        <v>3</v>
      </c>
      <c r="H21" s="12" t="inlineStr">
        <is>
          <t>Sprint 2</t>
        </is>
      </c>
      <c r="I21" s="12" t="inlineStr">
        <is>
          <t>Varnika (Member 2)</t>
        </is>
      </c>
      <c r="J21" s="12" t="inlineStr">
        <is>
          <t>varnikasadineni</t>
        </is>
      </c>
      <c r="K21" s="12" t="inlineStr">
        <is>
          <t>Done (pending PR review)</t>
        </is>
      </c>
      <c r="L21" s="12" t="inlineStr">
        <is>
          <t>feature/us-20-training-speed | 145 tests incl. 3 perf</t>
        </is>
      </c>
    </row>
    <row r="22" ht="15" customHeight="1" s="10">
      <c r="A22" s="12" t="inlineStr">
        <is>
          <t>US-21</t>
        </is>
      </c>
      <c r="B22" s="12" t="inlineStr">
        <is>
          <t>US-18</t>
        </is>
      </c>
      <c r="C22" s="12" t="inlineStr">
        <is>
          <t>WBMME-2</t>
        </is>
      </c>
      <c r="D22" s="12" t="inlineStr">
        <is>
          <t>Model Training &amp; Selection</t>
        </is>
      </c>
      <c r="E22" s="12" t="inlineStr">
        <is>
          <t>Contain failed jobs</t>
        </is>
      </c>
      <c r="F22" s="12" t="inlineStr">
        <is>
          <t>MLE-NF-006</t>
        </is>
      </c>
      <c r="G22" s="13" t="n">
        <v>5</v>
      </c>
      <c r="H22" s="12" t="inlineStr">
        <is>
          <t>Sprint 2</t>
        </is>
      </c>
      <c r="I22" s="12" t="inlineStr">
        <is>
          <t>Varnika (Member 2)</t>
        </is>
      </c>
      <c r="J22" s="12" t="inlineStr">
        <is>
          <t>varnikasadineni</t>
        </is>
      </c>
      <c r="K22" s="12" t="inlineStr">
        <is>
          <t>Done (pending PR review)</t>
        </is>
      </c>
      <c r="L22" s="12" t="inlineStr">
        <is>
          <t>feature/us-21-contain-failed-jobs | 158 tests (cumulative)</t>
        </is>
      </c>
    </row>
    <row r="23" ht="15" customHeight="1" s="10">
      <c r="A23" s="12" t="inlineStr">
        <is>
          <t>US-22</t>
        </is>
      </c>
      <c r="B23" s="12" t="inlineStr">
        <is>
          <t>US-20</t>
        </is>
      </c>
      <c r="C23" s="12" t="inlineStr">
        <is>
          <t>WBMME-3</t>
        </is>
      </c>
      <c r="D23" s="12" t="inlineStr">
        <is>
          <t>Evaluation &amp; Explainability</t>
        </is>
      </c>
      <c r="E23" s="12" t="inlineStr">
        <is>
          <t>Confusion matrix and metric chart</t>
        </is>
      </c>
      <c r="F23" s="12" t="inlineStr">
        <is>
          <t>MLE-F-011</t>
        </is>
      </c>
      <c r="G23" s="13" t="n">
        <v>5</v>
      </c>
      <c r="H23" s="12" t="inlineStr">
        <is>
          <t>Sprint 2</t>
        </is>
      </c>
      <c r="I23" s="12" t="inlineStr">
        <is>
          <t>Tejas (Member 3)</t>
        </is>
      </c>
      <c r="J23" s="12" t="inlineStr">
        <is>
          <t>TejasPonnappa</t>
        </is>
      </c>
      <c r="K23" s="12" t="inlineStr">
        <is>
          <t>To Do</t>
        </is>
      </c>
    </row>
    <row r="24" ht="15" customHeight="1" s="10">
      <c r="A24" s="12" t="inlineStr">
        <is>
          <t>US-23</t>
        </is>
      </c>
      <c r="B24" s="12" t="inlineStr">
        <is>
          <t>US-21</t>
        </is>
      </c>
      <c r="C24" s="12" t="inlineStr">
        <is>
          <t>WBMME-3</t>
        </is>
      </c>
      <c r="D24" s="12" t="inlineStr">
        <is>
          <t>Evaluation &amp; Explainability</t>
        </is>
      </c>
      <c r="E24" s="12" t="inlineStr">
        <is>
          <t>Feature importance</t>
        </is>
      </c>
      <c r="F24" s="12" t="inlineStr">
        <is>
          <t>MLE-F-012</t>
        </is>
      </c>
      <c r="G24" s="13" t="n">
        <v>3</v>
      </c>
      <c r="H24" s="12" t="inlineStr">
        <is>
          <t>Sprint 2</t>
        </is>
      </c>
      <c r="I24" s="12" t="inlineStr">
        <is>
          <t>Tejas (Member 3)</t>
        </is>
      </c>
      <c r="J24" s="12" t="inlineStr">
        <is>
          <t>TejasPonnappa</t>
        </is>
      </c>
      <c r="K24" s="12" t="inlineStr">
        <is>
          <t>To Do</t>
        </is>
      </c>
    </row>
    <row r="25" ht="15" customHeight="1" s="10">
      <c r="A25" s="12" t="inlineStr">
        <is>
          <t>US-24</t>
        </is>
      </c>
      <c r="B25" s="12" t="inlineStr">
        <is>
          <t>US-22</t>
        </is>
      </c>
      <c r="C25" s="12" t="inlineStr">
        <is>
          <t>WBMME-4</t>
        </is>
      </c>
      <c r="D25" s="12" t="inlineStr">
        <is>
          <t>Experiment Management &amp; Reporting</t>
        </is>
      </c>
      <c r="E25" s="12" t="inlineStr">
        <is>
          <t>Run history</t>
        </is>
      </c>
      <c r="F25" s="12" t="inlineStr">
        <is>
          <t>MLE-F-013</t>
        </is>
      </c>
      <c r="G25" s="13" t="n">
        <v>5</v>
      </c>
      <c r="H25" s="12" t="inlineStr">
        <is>
          <t>Sprint 2</t>
        </is>
      </c>
      <c r="I25" s="12" t="inlineStr">
        <is>
          <t>Vikas (Member 4)</t>
        </is>
      </c>
      <c r="J25" s="12" t="inlineStr">
        <is>
          <t>vikasvittalaihole</t>
        </is>
      </c>
      <c r="K25" s="12" t="inlineStr">
        <is>
          <t>To Do</t>
        </is>
      </c>
    </row>
    <row r="26" ht="15" customHeight="1" s="10">
      <c r="A26" s="12" t="inlineStr">
        <is>
          <t>US-25</t>
        </is>
      </c>
      <c r="B26" s="12" t="inlineStr">
        <is>
          <t>US-23</t>
        </is>
      </c>
      <c r="C26" s="12" t="inlineStr">
        <is>
          <t>WBMME-4</t>
        </is>
      </c>
      <c r="D26" s="12" t="inlineStr">
        <is>
          <t>Experiment Management &amp; Reporting</t>
        </is>
      </c>
      <c r="E26" s="12" t="inlineStr">
        <is>
          <t>Compare runs</t>
        </is>
      </c>
      <c r="F26" s="12" t="inlineStr">
        <is>
          <t>MLE-F-014</t>
        </is>
      </c>
      <c r="G26" s="13" t="n">
        <v>5</v>
      </c>
      <c r="H26" s="12" t="inlineStr">
        <is>
          <t>Sprint 2</t>
        </is>
      </c>
      <c r="I26" s="12" t="inlineStr">
        <is>
          <t>Vikas (Member 4)</t>
        </is>
      </c>
      <c r="J26" s="12" t="inlineStr">
        <is>
          <t>vikasvittalaihole</t>
        </is>
      </c>
      <c r="K26" s="12" t="inlineStr">
        <is>
          <t>To Do</t>
        </is>
      </c>
    </row>
    <row r="27" ht="15" customHeight="1" s="10">
      <c r="A27" s="12" t="inlineStr">
        <is>
          <t>US-26</t>
        </is>
      </c>
      <c r="B27" s="12" t="inlineStr">
        <is>
          <t>US-24</t>
        </is>
      </c>
      <c r="C27" s="12" t="inlineStr">
        <is>
          <t>WBMME-4</t>
        </is>
      </c>
      <c r="D27" s="12" t="inlineStr">
        <is>
          <t>Experiment Management &amp; Reporting</t>
        </is>
      </c>
      <c r="E27" s="12" t="inlineStr">
        <is>
          <t>Export results as CSV</t>
        </is>
      </c>
      <c r="F27" s="12" t="inlineStr">
        <is>
          <t>MLE-F-015</t>
        </is>
      </c>
      <c r="G27" s="13" t="n">
        <v>3</v>
      </c>
      <c r="H27" s="12" t="inlineStr">
        <is>
          <t>Sprint 2</t>
        </is>
      </c>
      <c r="I27" s="12" t="inlineStr">
        <is>
          <t>Vikas (Member 4)</t>
        </is>
      </c>
      <c r="J27" s="12" t="inlineStr">
        <is>
          <t>vikasvittalaihole</t>
        </is>
      </c>
      <c r="K27" s="12" t="inlineStr">
        <is>
          <t>To Do</t>
        </is>
      </c>
    </row>
    <row r="28" ht="15" customHeight="1" s="10">
      <c r="A28" s="12" t="inlineStr">
        <is>
          <t>US-27</t>
        </is>
      </c>
      <c r="B28" s="12" t="inlineStr">
        <is>
          <t>US-25</t>
        </is>
      </c>
      <c r="C28" s="12" t="inlineStr">
        <is>
          <t>WBMME-4</t>
        </is>
      </c>
      <c r="D28" s="12" t="inlineStr">
        <is>
          <t>Experiment Management &amp; Reporting</t>
        </is>
      </c>
      <c r="E28" s="12" t="inlineStr">
        <is>
          <t>History scale and pagination</t>
        </is>
      </c>
      <c r="F28" s="12" t="inlineStr">
        <is>
          <t>MLE-NF-007</t>
        </is>
      </c>
      <c r="G28" s="13" t="n">
        <v>3</v>
      </c>
      <c r="H28" s="12" t="inlineStr">
        <is>
          <t>Sprint 2</t>
        </is>
      </c>
      <c r="I28" s="12" t="inlineStr">
        <is>
          <t>Vikas (Member 4)</t>
        </is>
      </c>
      <c r="J28" s="12" t="inlineStr">
        <is>
          <t>vikasvittalaihole</t>
        </is>
      </c>
      <c r="K28" s="12" t="inlineStr">
        <is>
          <t>To Do</t>
        </is>
      </c>
    </row>
    <row r="29" ht="15" customHeight="1" s="10">
      <c r="A29" s="12" t="inlineStr">
        <is>
          <t>US-28</t>
        </is>
      </c>
      <c r="B29" s="12" t="inlineStr">
        <is>
          <t>US-27</t>
        </is>
      </c>
      <c r="C29" s="12" t="inlineStr">
        <is>
          <t>WBMME-5</t>
        </is>
      </c>
      <c r="D29" s="12" t="inlineStr">
        <is>
          <t>Testing &amp; Validation</t>
        </is>
      </c>
      <c r="E29" s="12" t="inlineStr">
        <is>
          <t>Integration and system tests</t>
        </is>
      </c>
      <c r="F29" s="12" t="inlineStr">
        <is>
          <t>Test Plan 13</t>
        </is>
      </c>
      <c r="G29" s="13" t="n">
        <v>5</v>
      </c>
      <c r="H29" s="12" t="inlineStr">
        <is>
          <t>Sprint 2</t>
        </is>
      </c>
      <c r="I29" s="12" t="inlineStr">
        <is>
          <t>Varnika (Member 2)</t>
        </is>
      </c>
      <c r="J29" s="12" t="inlineStr">
        <is>
          <t>varnikasadineni</t>
        </is>
      </c>
      <c r="K29" s="12" t="inlineStr">
        <is>
          <t>Done (pending PR review)</t>
        </is>
      </c>
      <c r="L29" s="12" t="inlineStr">
        <is>
          <t>feature/us-28-integration-system-tests | 202 tests (cumulative)</t>
        </is>
      </c>
    </row>
    <row r="30" ht="15" customHeight="1" s="10">
      <c r="A30" s="12" t="inlineStr">
        <is>
          <t>US-29</t>
        </is>
      </c>
      <c r="B30" s="12" t="inlineStr">
        <is>
          <t>US-28</t>
        </is>
      </c>
      <c r="C30" s="12" t="inlineStr">
        <is>
          <t>WBMME-5</t>
        </is>
      </c>
      <c r="D30" s="12" t="inlineStr">
        <is>
          <t>Testing &amp; Validation</t>
        </is>
      </c>
      <c r="E30" s="12" t="inlineStr">
        <is>
          <t>Security validation</t>
        </is>
      </c>
      <c r="F30" s="12" t="inlineStr">
        <is>
          <t>MLE-SR-001 to 007</t>
        </is>
      </c>
      <c r="G30" s="13" t="n">
        <v>5</v>
      </c>
      <c r="H30" s="12" t="inlineStr">
        <is>
          <t>Sprint 2</t>
        </is>
      </c>
      <c r="I30" s="12" t="inlineStr">
        <is>
          <t>Soumya (Member 1)</t>
        </is>
      </c>
      <c r="J30" s="12" t="inlineStr">
        <is>
          <t>KOTRASAISOUMYASRI</t>
        </is>
      </c>
      <c r="K30" s="12" t="inlineStr">
        <is>
          <t>To Do</t>
        </is>
      </c>
    </row>
    <row r="31" ht="15" customHeight="1" s="10">
      <c r="A31" s="12" t="inlineStr">
        <is>
          <t>US-30</t>
        </is>
      </c>
      <c r="B31" s="12" t="inlineStr">
        <is>
          <t>US-29</t>
        </is>
      </c>
      <c r="C31" s="12" t="inlineStr">
        <is>
          <t>WBMME-5</t>
        </is>
      </c>
      <c r="D31" s="12" t="inlineStr">
        <is>
          <t>Testing &amp; Validation</t>
        </is>
      </c>
      <c r="E31" s="12" t="inlineStr">
        <is>
          <t>Load test</t>
        </is>
      </c>
      <c r="F31" s="12" t="inlineStr">
        <is>
          <t>MLE-NF-003</t>
        </is>
      </c>
      <c r="G31" s="13" t="n">
        <v>5</v>
      </c>
      <c r="H31" s="12" t="inlineStr">
        <is>
          <t>Sprint 2</t>
        </is>
      </c>
      <c r="I31" s="12" t="inlineStr">
        <is>
          <t>Varnika (Member 2)</t>
        </is>
      </c>
      <c r="J31" s="12" t="inlineStr">
        <is>
          <t>varnikasadineni</t>
        </is>
      </c>
      <c r="K31" s="12" t="inlineStr">
        <is>
          <t>Done (pending PR review)</t>
        </is>
      </c>
      <c r="L31" s="12" t="inlineStr">
        <is>
          <t>feature/us-30-load-test | 202 tests; load test passed</t>
        </is>
      </c>
    </row>
    <row r="32" ht="15" customHeight="1" s="10">
      <c r="A32" s="12" t="inlineStr">
        <is>
          <t>US-31</t>
        </is>
      </c>
      <c r="B32" s="12" t="inlineStr">
        <is>
          <t>US-30</t>
        </is>
      </c>
      <c r="C32" s="12" t="inlineStr">
        <is>
          <t>WBMME-5</t>
        </is>
      </c>
      <c r="D32" s="12" t="inlineStr">
        <is>
          <t>Testing &amp; Validation</t>
        </is>
      </c>
      <c r="E32" s="12" t="inlineStr">
        <is>
          <t>Usability test</t>
        </is>
      </c>
      <c r="F32" s="12" t="inlineStr">
        <is>
          <t>MLE-NF-005</t>
        </is>
      </c>
      <c r="G32" s="13" t="n">
        <v>3</v>
      </c>
      <c r="H32" s="12" t="inlineStr">
        <is>
          <t>Sprint 2</t>
        </is>
      </c>
      <c r="I32" s="12" t="inlineStr">
        <is>
          <t>Tejas (Member 3)</t>
        </is>
      </c>
      <c r="J32" s="12" t="inlineStr">
        <is>
          <t>TejasPonnappa</t>
        </is>
      </c>
      <c r="K32" s="12" t="inlineStr">
        <is>
          <t>To Do</t>
        </is>
      </c>
    </row>
    <row r="33" ht="15" customHeight="1" s="10">
      <c r="A33" s="12" t="inlineStr">
        <is>
          <t>US-32</t>
        </is>
      </c>
      <c r="B33" s="12" t="inlineStr">
        <is>
          <t>US-32</t>
        </is>
      </c>
      <c r="C33" s="12" t="inlineStr">
        <is>
          <t>WBMME-6</t>
        </is>
      </c>
      <c r="D33" s="12" t="inlineStr">
        <is>
          <t>CI/CD, Security &amp; Deployment</t>
        </is>
      </c>
      <c r="E33" s="12" t="inlineStr">
        <is>
          <t>Docker build</t>
        </is>
      </c>
      <c r="F33" s="12" t="inlineStr">
        <is>
          <t>MLE-NF-004</t>
        </is>
      </c>
      <c r="G33" s="13" t="n">
        <v>5</v>
      </c>
      <c r="H33" s="12" t="inlineStr">
        <is>
          <t>Sprint 2</t>
        </is>
      </c>
      <c r="I33" s="12" t="inlineStr">
        <is>
          <t>Soumya (Member 1)</t>
        </is>
      </c>
      <c r="J33" s="12" t="inlineStr">
        <is>
          <t>KOTRASAISOUMYASRI</t>
        </is>
      </c>
      <c r="K33" s="12" t="inlineStr">
        <is>
          <t>To Do</t>
        </is>
      </c>
    </row>
    <row r="34" ht="15" customHeight="1" s="10">
      <c r="A34" s="12" t="inlineStr">
        <is>
          <t>US-33</t>
        </is>
      </c>
      <c r="B34" s="12" t="inlineStr">
        <is>
          <t>US-33</t>
        </is>
      </c>
      <c r="C34" s="12" t="inlineStr">
        <is>
          <t>WBMME-6</t>
        </is>
      </c>
      <c r="D34" s="12" t="inlineStr">
        <is>
          <t>CI/CD, Security &amp; Deployment</t>
        </is>
      </c>
      <c r="E34" s="12" t="inlineStr">
        <is>
          <t>HTTPS only</t>
        </is>
      </c>
      <c r="F34" s="12" t="inlineStr">
        <is>
          <t>MLE-SR-002</t>
        </is>
      </c>
      <c r="G34" s="13" t="n">
        <v>3</v>
      </c>
      <c r="H34" s="12" t="inlineStr">
        <is>
          <t>Sprint 2</t>
        </is>
      </c>
      <c r="I34" s="12" t="inlineStr">
        <is>
          <t>Soumya (Member 1)</t>
        </is>
      </c>
      <c r="J34" s="12" t="inlineStr">
        <is>
          <t>KOTRASAISOUMYASRI</t>
        </is>
      </c>
      <c r="K34" s="12" t="inlineStr">
        <is>
          <t>To Do</t>
        </is>
      </c>
    </row>
    <row r="35" ht="15" customHeight="1" s="10">
      <c r="A35" s="12" t="inlineStr">
        <is>
          <t>US-34</t>
        </is>
      </c>
      <c r="B35" s="12" t="inlineStr">
        <is>
          <t>US-34</t>
        </is>
      </c>
      <c r="C35" s="12" t="inlineStr">
        <is>
          <t>WBMME-6</t>
        </is>
      </c>
      <c r="D35" s="12" t="inlineStr">
        <is>
          <t>CI/CD, Security &amp; Deployment</t>
        </is>
      </c>
      <c r="E35" s="12" t="inlineStr">
        <is>
          <t>Security scan</t>
        </is>
      </c>
      <c r="F35" s="12" t="inlineStr">
        <is>
          <t>Test Plan 5.1</t>
        </is>
      </c>
      <c r="G35" s="13" t="n">
        <v>3</v>
      </c>
      <c r="H35" s="12" t="inlineStr">
        <is>
          <t>Sprint 2</t>
        </is>
      </c>
      <c r="I35" s="12" t="inlineStr">
        <is>
          <t>Soumya (Member 1)</t>
        </is>
      </c>
      <c r="J35" s="12" t="inlineStr">
        <is>
          <t>KOTRASAISOUMYASRI</t>
        </is>
      </c>
      <c r="K35" s="12" t="inlineStr">
        <is>
          <t>To Do</t>
        </is>
      </c>
    </row>
    <row r="36" ht="15" customHeight="1" s="10">
      <c r="A36" s="12" t="inlineStr">
        <is>
          <t>US-35</t>
        </is>
      </c>
      <c r="B36" s="12" t="inlineStr">
        <is>
          <t>US-36</t>
        </is>
      </c>
      <c r="C36" s="12" t="inlineStr">
        <is>
          <t>WBMME-7</t>
        </is>
      </c>
      <c r="D36" s="12" t="inlineStr">
        <is>
          <t>Final Documentation &amp; Demonstration</t>
        </is>
      </c>
      <c r="E36" s="12" t="inlineStr">
        <is>
          <t>Sprint 2 demo video</t>
        </is>
      </c>
      <c r="F36" s="12" t="inlineStr">
        <is>
          <t>Part-2 Sprint 2</t>
        </is>
      </c>
      <c r="G36" s="13" t="n">
        <v>2</v>
      </c>
      <c r="H36" s="12" t="inlineStr">
        <is>
          <t>Sprint 2</t>
        </is>
      </c>
      <c r="I36" s="12" t="inlineStr">
        <is>
          <t>Soumya (Member 1)</t>
        </is>
      </c>
      <c r="J36" s="12" t="inlineStr">
        <is>
          <t>KOTRASAISOUMYASRI</t>
        </is>
      </c>
      <c r="K36" s="12" t="inlineStr">
        <is>
          <t>To Do</t>
        </is>
      </c>
    </row>
    <row r="37" ht="15" customHeight="1" s="10">
      <c r="A37" s="12" t="inlineStr">
        <is>
          <t>US-36</t>
        </is>
      </c>
      <c r="B37" s="12" t="inlineStr">
        <is>
          <t>US-37</t>
        </is>
      </c>
      <c r="C37" s="12" t="inlineStr">
        <is>
          <t>WBMME-7</t>
        </is>
      </c>
      <c r="D37" s="12" t="inlineStr">
        <is>
          <t>Final Documentation &amp; Demonstration</t>
        </is>
      </c>
      <c r="E37" s="12" t="inlineStr">
        <is>
          <t>Final report and deviation log</t>
        </is>
      </c>
      <c r="F37" s="12" t="inlineStr">
        <is>
          <t>Part-2 Sprint 2</t>
        </is>
      </c>
      <c r="G37" s="13" t="n">
        <v>3</v>
      </c>
      <c r="H37" s="12" t="inlineStr">
        <is>
          <t>Sprint 2</t>
        </is>
      </c>
      <c r="I37" s="12" t="inlineStr">
        <is>
          <t>Soumya (Member 1)</t>
        </is>
      </c>
      <c r="J37" s="12" t="inlineStr">
        <is>
          <t>KOTRASAISOUMYASRI</t>
        </is>
      </c>
      <c r="K37" s="12" t="inlineStr">
        <is>
          <t>To Do</t>
        </is>
      </c>
    </row>
    <row r="38" ht="15" customHeight="1" s="10">
      <c r="A38" s="12" t="inlineStr">
        <is>
          <t>US-37</t>
        </is>
      </c>
      <c r="B38" s="12" t="inlineStr">
        <is>
          <t>US-43</t>
        </is>
      </c>
      <c r="C38" s="12" t="inlineStr">
        <is>
          <t>WBMME-8</t>
        </is>
      </c>
      <c r="D38" s="12" t="inlineStr">
        <is>
          <t>Core Platform &amp; Security</t>
        </is>
      </c>
      <c r="E38" s="12" t="inlineStr">
        <is>
          <t>Admin console</t>
        </is>
      </c>
      <c r="F38" s="12" t="inlineStr">
        <is>
          <t>MLE-F-016</t>
        </is>
      </c>
      <c r="G38" s="13" t="n">
        <v>8</v>
      </c>
      <c r="H38" s="12" t="inlineStr">
        <is>
          <t>Sprint 2</t>
        </is>
      </c>
      <c r="I38" s="12" t="inlineStr">
        <is>
          <t>Tejas (Member 3)</t>
        </is>
      </c>
      <c r="J38" s="12" t="inlineStr">
        <is>
          <t>TejasPonnappa</t>
        </is>
      </c>
      <c r="K38" s="12" t="inlineStr">
        <is>
          <t>To Do</t>
        </is>
      </c>
    </row>
    <row r="39" ht="15" customHeight="1" s="10">
      <c r="A39" s="12" t="inlineStr">
        <is>
          <t>US-38</t>
        </is>
      </c>
      <c r="B39" s="12" t="inlineStr">
        <is>
          <t>US-44</t>
        </is>
      </c>
      <c r="C39" s="12" t="inlineStr">
        <is>
          <t>WBMME-8</t>
        </is>
      </c>
      <c r="D39" s="12" t="inlineStr">
        <is>
          <t>Core Platform &amp; Security</t>
        </is>
      </c>
      <c r="E39" s="12" t="inlineStr">
        <is>
          <t>Ownership checks and audit log</t>
        </is>
      </c>
      <c r="F39" s="12" t="inlineStr">
        <is>
          <t>MLE-SR-005</t>
        </is>
      </c>
      <c r="G39" s="13" t="n">
        <v>5</v>
      </c>
      <c r="H39" s="12" t="inlineStr">
        <is>
          <t>Sprint 2</t>
        </is>
      </c>
      <c r="I39" s="12" t="inlineStr">
        <is>
          <t>Tejas (Member 3)</t>
        </is>
      </c>
      <c r="J39" s="12" t="inlineStr">
        <is>
          <t>TejasPonnappa</t>
        </is>
      </c>
      <c r="K39" s="12" t="inlineStr">
        <is>
          <t>To Do</t>
        </is>
      </c>
    </row>
    <row r="40" ht="15" customHeight="1" s="10">
      <c r="A40" s="12" t="inlineStr">
        <is>
          <t>US-39</t>
        </is>
      </c>
      <c r="B40" s="12" t="inlineStr">
        <is>
          <t>US-45</t>
        </is>
      </c>
      <c r="C40" s="12" t="inlineStr">
        <is>
          <t>WBMME-8</t>
        </is>
      </c>
      <c r="D40" s="12" t="inlineStr">
        <is>
          <t>Core Platform &amp; Security</t>
        </is>
      </c>
      <c r="E40" s="12" t="inlineStr">
        <is>
          <t>Request and job limits</t>
        </is>
      </c>
      <c r="F40" s="12" t="inlineStr">
        <is>
          <t>MLE-SR-006</t>
        </is>
      </c>
      <c r="G40" s="13" t="n">
        <v>5</v>
      </c>
      <c r="H40" s="12" t="inlineStr">
        <is>
          <t>Sprint 2</t>
        </is>
      </c>
      <c r="I40" s="12" t="inlineStr">
        <is>
          <t>Varnika (Member 2)</t>
        </is>
      </c>
      <c r="J40" s="12" t="inlineStr">
        <is>
          <t>varnikasadineni</t>
        </is>
      </c>
      <c r="K40" s="12" t="inlineStr">
        <is>
          <t>Done (pending PR review)</t>
        </is>
      </c>
      <c r="L40" s="12" t="inlineStr">
        <is>
          <t>feature/us-39-request-and-job-limits | 191 tests (cumulative)</t>
        </is>
      </c>
    </row>
    <row r="41"/>
    <row r="42" ht="15" customHeight="1" s="10">
      <c r="A42" s="14" t="inlineStr">
        <is>
          <t>Blue = input you may edit (story points). Epics renumbered WBMME-1 to WBMME-8 on 13 Oct 2026; stories renumbered US-01 to US-39 in sprint order, Sprint 1 first (Old ID column = the earlier US number, also the old GitHub title). Status values: To Do, In Progress, In Review, Done.</t>
        </is>
      </c>
    </row>
  </sheetData>
  <autoFilter ref="A1:K4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9" min="1" max="1"/>
    <col width="38" customWidth="1" style="9" min="2" max="2"/>
    <col width="12" customWidth="1" style="9" min="3" max="3"/>
    <col width="9" customWidth="1" style="9" min="4" max="5"/>
    <col width="14" customWidth="1" style="9" min="6" max="7"/>
  </cols>
  <sheetData>
    <row r="1" ht="15" customHeight="1" s="10">
      <c r="A1" s="11" t="inlineStr">
        <is>
          <t>Epic</t>
        </is>
      </c>
      <c r="B1" s="11" t="inlineStr">
        <is>
          <t>Name</t>
        </is>
      </c>
      <c r="C1" s="11" t="inlineStr">
        <is>
          <t>Old number</t>
        </is>
      </c>
      <c r="D1" s="11" t="inlineStr">
        <is>
          <t>Stories</t>
        </is>
      </c>
      <c r="E1" s="11" t="inlineStr">
        <is>
          <t>Points</t>
        </is>
      </c>
      <c r="F1" s="11" t="inlineStr">
        <is>
          <t>Sprint 1 stories</t>
        </is>
      </c>
      <c r="G1" s="11" t="inlineStr">
        <is>
          <t>Sprint 2 stories</t>
        </is>
      </c>
    </row>
    <row r="2" ht="15" customHeight="1" s="10">
      <c r="A2" s="12" t="inlineStr">
        <is>
          <t>WBMME-1</t>
        </is>
      </c>
      <c r="B2" s="12" t="inlineStr">
        <is>
          <t>Data Workspace</t>
        </is>
      </c>
      <c r="C2" s="12" t="inlineStr">
        <is>
          <t>WBMME-4</t>
        </is>
      </c>
      <c r="D2" s="12">
        <f>COUNTIF(Backlog!$C$2:$C$40,A2)</f>
        <v/>
      </c>
      <c r="E2" s="12">
        <f>SUMIF(Backlog!$C$2:$C$40,A2,Backlog!$G$2:$G$40)</f>
        <v/>
      </c>
      <c r="F2" s="12">
        <f>COUNTIFS(Backlog!$C$2:$C$40,A2,Backlog!$H$2:$H$40,"Sprint 1")</f>
        <v/>
      </c>
      <c r="G2" s="12">
        <f>COUNTIFS(Backlog!$C$2:$C$40,A2,Backlog!$H$2:$H$40,"Sprint 2")</f>
        <v/>
      </c>
    </row>
    <row r="3" ht="15" customHeight="1" s="10">
      <c r="A3" s="12" t="inlineStr">
        <is>
          <t>WBMME-2</t>
        </is>
      </c>
      <c r="B3" s="12" t="inlineStr">
        <is>
          <t>Model Training &amp; Selection</t>
        </is>
      </c>
      <c r="C3" s="12" t="inlineStr">
        <is>
          <t>WBMME-5</t>
        </is>
      </c>
      <c r="D3" s="12">
        <f>COUNTIF(Backlog!$C$2:$C$40,A3)</f>
        <v/>
      </c>
      <c r="E3" s="12">
        <f>SUMIF(Backlog!$C$2:$C$40,A3,Backlog!$G$2:$G$40)</f>
        <v/>
      </c>
      <c r="F3" s="12">
        <f>COUNTIFS(Backlog!$C$2:$C$40,A3,Backlog!$H$2:$H$40,"Sprint 1")</f>
        <v/>
      </c>
      <c r="G3" s="12">
        <f>COUNTIFS(Backlog!$C$2:$C$40,A3,Backlog!$H$2:$H$40,"Sprint 2")</f>
        <v/>
      </c>
    </row>
    <row r="4" ht="15" customHeight="1" s="10">
      <c r="A4" s="12" t="inlineStr">
        <is>
          <t>WBMME-3</t>
        </is>
      </c>
      <c r="B4" s="12" t="inlineStr">
        <is>
          <t>Evaluation &amp; Explainability</t>
        </is>
      </c>
      <c r="C4" s="12" t="inlineStr">
        <is>
          <t>WBMME-6</t>
        </is>
      </c>
      <c r="D4" s="12">
        <f>COUNTIF(Backlog!$C$2:$C$40,A4)</f>
        <v/>
      </c>
      <c r="E4" s="12">
        <f>SUMIF(Backlog!$C$2:$C$40,A4,Backlog!$G$2:$G$40)</f>
        <v/>
      </c>
      <c r="F4" s="12">
        <f>COUNTIFS(Backlog!$C$2:$C$40,A4,Backlog!$H$2:$H$40,"Sprint 1")</f>
        <v/>
      </c>
      <c r="G4" s="12">
        <f>COUNTIFS(Backlog!$C$2:$C$40,A4,Backlog!$H$2:$H$40,"Sprint 2")</f>
        <v/>
      </c>
    </row>
    <row r="5" ht="15" customHeight="1" s="10">
      <c r="A5" s="12" t="inlineStr">
        <is>
          <t>WBMME-4</t>
        </is>
      </c>
      <c r="B5" s="12" t="inlineStr">
        <is>
          <t>Experiment Management &amp; Reporting</t>
        </is>
      </c>
      <c r="C5" s="12" t="inlineStr">
        <is>
          <t>WBMME-7</t>
        </is>
      </c>
      <c r="D5" s="12">
        <f>COUNTIF(Backlog!$C$2:$C$40,A5)</f>
        <v/>
      </c>
      <c r="E5" s="12">
        <f>SUMIF(Backlog!$C$2:$C$40,A5,Backlog!$G$2:$G$40)</f>
        <v/>
      </c>
      <c r="F5" s="12">
        <f>COUNTIFS(Backlog!$C$2:$C$40,A5,Backlog!$H$2:$H$40,"Sprint 1")</f>
        <v/>
      </c>
      <c r="G5" s="12">
        <f>COUNTIFS(Backlog!$C$2:$C$40,A5,Backlog!$H$2:$H$40,"Sprint 2")</f>
        <v/>
      </c>
    </row>
    <row r="6" ht="15" customHeight="1" s="10">
      <c r="A6" s="12" t="inlineStr">
        <is>
          <t>WBMME-5</t>
        </is>
      </c>
      <c r="B6" s="12" t="inlineStr">
        <is>
          <t>Testing &amp; Validation</t>
        </is>
      </c>
      <c r="C6" s="12" t="inlineStr">
        <is>
          <t>WBMME-8</t>
        </is>
      </c>
      <c r="D6" s="12">
        <f>COUNTIF(Backlog!$C$2:$C$40,A6)</f>
        <v/>
      </c>
      <c r="E6" s="12">
        <f>SUMIF(Backlog!$C$2:$C$40,A6,Backlog!$G$2:$G$40)</f>
        <v/>
      </c>
      <c r="F6" s="12">
        <f>COUNTIFS(Backlog!$C$2:$C$40,A6,Backlog!$H$2:$H$40,"Sprint 1")</f>
        <v/>
      </c>
      <c r="G6" s="12">
        <f>COUNTIFS(Backlog!$C$2:$C$40,A6,Backlog!$H$2:$H$40,"Sprint 2")</f>
        <v/>
      </c>
    </row>
    <row r="7" ht="15" customHeight="1" s="10">
      <c r="A7" s="12" t="inlineStr">
        <is>
          <t>WBMME-6</t>
        </is>
      </c>
      <c r="B7" s="12" t="inlineStr">
        <is>
          <t>CI/CD, Security &amp; Deployment</t>
        </is>
      </c>
      <c r="C7" s="12" t="inlineStr">
        <is>
          <t>WBMME-9</t>
        </is>
      </c>
      <c r="D7" s="12">
        <f>COUNTIF(Backlog!$C$2:$C$40,A7)</f>
        <v/>
      </c>
      <c r="E7" s="12">
        <f>SUMIF(Backlog!$C$2:$C$40,A7,Backlog!$G$2:$G$40)</f>
        <v/>
      </c>
      <c r="F7" s="12">
        <f>COUNTIFS(Backlog!$C$2:$C$40,A7,Backlog!$H$2:$H$40,"Sprint 1")</f>
        <v/>
      </c>
      <c r="G7" s="12">
        <f>COUNTIFS(Backlog!$C$2:$C$40,A7,Backlog!$H$2:$H$40,"Sprint 2")</f>
        <v/>
      </c>
    </row>
    <row r="8" ht="15" customHeight="1" s="10">
      <c r="A8" s="12" t="inlineStr">
        <is>
          <t>WBMME-7</t>
        </is>
      </c>
      <c r="B8" s="12" t="inlineStr">
        <is>
          <t>Final Documentation &amp; Demonstration</t>
        </is>
      </c>
      <c r="C8" s="12" t="inlineStr">
        <is>
          <t>WBMME-10</t>
        </is>
      </c>
      <c r="D8" s="12">
        <f>COUNTIF(Backlog!$C$2:$C$40,A8)</f>
        <v/>
      </c>
      <c r="E8" s="12">
        <f>SUMIF(Backlog!$C$2:$C$40,A8,Backlog!$G$2:$G$40)</f>
        <v/>
      </c>
      <c r="F8" s="12">
        <f>COUNTIFS(Backlog!$C$2:$C$40,A8,Backlog!$H$2:$H$40,"Sprint 1")</f>
        <v/>
      </c>
      <c r="G8" s="12">
        <f>COUNTIFS(Backlog!$C$2:$C$40,A8,Backlog!$H$2:$H$40,"Sprint 2")</f>
        <v/>
      </c>
    </row>
    <row r="9" ht="15" customHeight="1" s="10">
      <c r="A9" s="12" t="inlineStr">
        <is>
          <t>WBMME-8</t>
        </is>
      </c>
      <c r="B9" s="12" t="inlineStr">
        <is>
          <t>Core Platform &amp; Security</t>
        </is>
      </c>
      <c r="C9" s="12" t="inlineStr">
        <is>
          <t>WBMME-11</t>
        </is>
      </c>
      <c r="D9" s="12">
        <f>COUNTIF(Backlog!$C$2:$C$40,A9)</f>
        <v/>
      </c>
      <c r="E9" s="12">
        <f>SUMIF(Backlog!$C$2:$C$40,A9,Backlog!$G$2:$G$40)</f>
        <v/>
      </c>
      <c r="F9" s="12">
        <f>COUNTIFS(Backlog!$C$2:$C$40,A9,Backlog!$H$2:$H$40,"Sprint 1")</f>
        <v/>
      </c>
      <c r="G9" s="12">
        <f>COUNTIFS(Backlog!$C$2:$C$40,A9,Backlog!$H$2:$H$40,"Sprint 2")</f>
        <v/>
      </c>
    </row>
    <row r="10" ht="15" customHeight="1" s="10">
      <c r="A10" s="15" t="inlineStr">
        <is>
          <t>Total</t>
        </is>
      </c>
      <c r="B10" s="15" t="n"/>
      <c r="C10" s="15" t="n"/>
      <c r="D10" s="15">
        <f>SUM(D2:D9)</f>
        <v/>
      </c>
      <c r="E10" s="15">
        <f>SUM(E2:E9)</f>
        <v/>
      </c>
      <c r="F10" s="15">
        <f>SUM(F2:F9)</f>
        <v/>
      </c>
      <c r="G10" s="15">
        <f>SUM(G2:G9)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" min="1" max="1"/>
    <col width="14" customWidth="1" style="9" min="2" max="5"/>
    <col width="13" customWidth="1" style="9" min="6" max="7"/>
  </cols>
  <sheetData>
    <row r="1" ht="15" customHeight="1" s="10">
      <c r="A1" s="11" t="inlineStr">
        <is>
          <t>Member</t>
        </is>
      </c>
      <c r="B1" s="11" t="inlineStr">
        <is>
          <t>Sprint 1 stories</t>
        </is>
      </c>
      <c r="C1" s="11" t="inlineStr">
        <is>
          <t>Sprint 1 points</t>
        </is>
      </c>
      <c r="D1" s="11" t="inlineStr">
        <is>
          <t>Sprint 2 stories</t>
        </is>
      </c>
      <c r="E1" s="11" t="inlineStr">
        <is>
          <t>Sprint 2 points</t>
        </is>
      </c>
      <c r="F1" s="11" t="inlineStr">
        <is>
          <t>Total stories</t>
        </is>
      </c>
      <c r="G1" s="11" t="inlineStr">
        <is>
          <t>Total points</t>
        </is>
      </c>
    </row>
    <row r="2" ht="15" customHeight="1" s="10">
      <c r="A2" s="12" t="inlineStr">
        <is>
          <t>Soumya (Member 1)</t>
        </is>
      </c>
      <c r="B2" s="12">
        <f>COUNTIFS(Backlog!$I$2:$I$40,$A2,Backlog!$H$2:$H$40,"Sprint 1")</f>
        <v/>
      </c>
      <c r="C2" s="12">
        <f>SUMIFS(Backlog!$G$2:$G$40,Backlog!$I$2:$I$40,$A2,Backlog!$H$2:$H$40,"Sprint 1")</f>
        <v/>
      </c>
      <c r="D2" s="12">
        <f>COUNTIFS(Backlog!$I$2:$I$40,$A2,Backlog!$H$2:$H$40,"Sprint 2")</f>
        <v/>
      </c>
      <c r="E2" s="12">
        <f>SUMIFS(Backlog!$G$2:$G$40,Backlog!$I$2:$I$40,$A2,Backlog!$H$2:$H$40,"Sprint 2")</f>
        <v/>
      </c>
      <c r="F2" s="12">
        <f>B2+D2</f>
        <v/>
      </c>
      <c r="G2" s="12">
        <f>C2+E2</f>
        <v/>
      </c>
    </row>
    <row r="3" ht="15" customHeight="1" s="10">
      <c r="A3" s="12" t="inlineStr">
        <is>
          <t>Varnika (Member 2)</t>
        </is>
      </c>
      <c r="B3" s="12">
        <f>COUNTIFS(Backlog!$I$2:$I$40,$A3,Backlog!$H$2:$H$40,"Sprint 1")</f>
        <v/>
      </c>
      <c r="C3" s="12">
        <f>SUMIFS(Backlog!$G$2:$G$40,Backlog!$I$2:$I$40,$A3,Backlog!$H$2:$H$40,"Sprint 1")</f>
        <v/>
      </c>
      <c r="D3" s="12">
        <f>COUNTIFS(Backlog!$I$2:$I$40,$A3,Backlog!$H$2:$H$40,"Sprint 2")</f>
        <v/>
      </c>
      <c r="E3" s="12">
        <f>SUMIFS(Backlog!$G$2:$G$40,Backlog!$I$2:$I$40,$A3,Backlog!$H$2:$H$40,"Sprint 2")</f>
        <v/>
      </c>
      <c r="F3" s="12">
        <f>B3+D3</f>
        <v/>
      </c>
      <c r="G3" s="12">
        <f>C3+E3</f>
        <v/>
      </c>
    </row>
    <row r="4" ht="15" customHeight="1" s="10">
      <c r="A4" s="12" t="inlineStr">
        <is>
          <t>Tejas (Member 3)</t>
        </is>
      </c>
      <c r="B4" s="12">
        <f>COUNTIFS(Backlog!$I$2:$I$40,$A4,Backlog!$H$2:$H$40,"Sprint 1")</f>
        <v/>
      </c>
      <c r="C4" s="12">
        <f>SUMIFS(Backlog!$G$2:$G$40,Backlog!$I$2:$I$40,$A4,Backlog!$H$2:$H$40,"Sprint 1")</f>
        <v/>
      </c>
      <c r="D4" s="12">
        <f>COUNTIFS(Backlog!$I$2:$I$40,$A4,Backlog!$H$2:$H$40,"Sprint 2")</f>
        <v/>
      </c>
      <c r="E4" s="12">
        <f>SUMIFS(Backlog!$G$2:$G$40,Backlog!$I$2:$I$40,$A4,Backlog!$H$2:$H$40,"Sprint 2")</f>
        <v/>
      </c>
      <c r="F4" s="12">
        <f>B4+D4</f>
        <v/>
      </c>
      <c r="G4" s="12">
        <f>C4+E4</f>
        <v/>
      </c>
    </row>
    <row r="5" ht="15" customHeight="1" s="10">
      <c r="A5" s="12" t="inlineStr">
        <is>
          <t>Vikas (Member 4)</t>
        </is>
      </c>
      <c r="B5" s="12">
        <f>COUNTIFS(Backlog!$I$2:$I$40,$A5,Backlog!$H$2:$H$40,"Sprint 1")</f>
        <v/>
      </c>
      <c r="C5" s="12">
        <f>SUMIFS(Backlog!$G$2:$G$40,Backlog!$I$2:$I$40,$A5,Backlog!$H$2:$H$40,"Sprint 1")</f>
        <v/>
      </c>
      <c r="D5" s="12">
        <f>COUNTIFS(Backlog!$I$2:$I$40,$A5,Backlog!$H$2:$H$40,"Sprint 2")</f>
        <v/>
      </c>
      <c r="E5" s="12">
        <f>SUMIFS(Backlog!$G$2:$G$40,Backlog!$I$2:$I$40,$A5,Backlog!$H$2:$H$40,"Sprint 2")</f>
        <v/>
      </c>
      <c r="F5" s="12">
        <f>B5+D5</f>
        <v/>
      </c>
      <c r="G5" s="12">
        <f>C5+E5</f>
        <v/>
      </c>
    </row>
    <row r="6" ht="15" customHeight="1" s="10">
      <c r="A6" s="15" t="inlineStr">
        <is>
          <t>Total</t>
        </is>
      </c>
      <c r="B6" s="15">
        <f>SUM(B2:B5)</f>
        <v/>
      </c>
      <c r="C6" s="15">
        <f>SUM(C2:C5)</f>
        <v/>
      </c>
      <c r="D6" s="15">
        <f>SUM(D2:D5)</f>
        <v/>
      </c>
      <c r="E6" s="15">
        <f>SUM(E2:E5)</f>
        <v/>
      </c>
      <c r="F6" s="15">
        <f>SUM(F2:F5)</f>
        <v/>
      </c>
      <c r="G6" s="15">
        <f>SUM(G2:G5)</f>
        <v/>
      </c>
    </row>
    <row r="8" ht="15" customHeight="1" s="10">
      <c r="A8" s="16" t="inlineStr">
        <is>
          <t>Minimum stories per sprint (from class)</t>
        </is>
      </c>
      <c r="B8" s="17" t="n">
        <v>15</v>
      </c>
    </row>
    <row r="9" ht="15" customHeight="1" s="10">
      <c r="A9" s="16" t="inlineStr">
        <is>
          <t>Sprint 1 meets the minimum?</t>
        </is>
      </c>
      <c r="B9" s="18">
        <f>IF(B6&gt;=$B$8,"Yes","No")</f>
        <v/>
      </c>
    </row>
    <row r="10" ht="15" customHeight="1" s="10">
      <c r="A10" s="16" t="inlineStr">
        <is>
          <t>Sprint 2 meets the minimum?</t>
        </is>
      </c>
      <c r="B10" s="18">
        <f>IF(D6&gt;=$B$8,"Yes","No")</f>
        <v/>
      </c>
    </row>
    <row r="11" ht="15" customHeight="1" s="10">
      <c r="A11" s="14" t="inlineStr">
        <is>
          <t>Assumption: 15 stories per sprint is the minimum the professor stated in class (13 Oct 2026).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" min="1" max="2"/>
    <col width="34" customWidth="1" style="9" min="3" max="3"/>
    <col width="20" customWidth="1" style="9" min="4" max="5"/>
    <col width="26" customWidth="1" style="9" min="6" max="6"/>
  </cols>
  <sheetData>
    <row r="1" ht="23.85" customHeight="1" s="10">
      <c r="A1" s="11" t="inlineStr">
        <is>
          <t>Story ID</t>
        </is>
      </c>
      <c r="B1" s="11" t="inlineStr">
        <is>
          <t>Old ID</t>
        </is>
      </c>
      <c r="C1" s="11" t="inlineStr">
        <is>
          <t>Story</t>
        </is>
      </c>
      <c r="D1" s="11" t="inlineStr">
        <is>
          <t>Was</t>
        </is>
      </c>
      <c r="E1" s="11" t="inlineStr">
        <is>
          <t>Now</t>
        </is>
      </c>
      <c r="F1" s="11" t="inlineStr">
        <is>
          <t>GitHub username (new owner)</t>
        </is>
      </c>
    </row>
    <row r="2" ht="15" customHeight="1" s="10">
      <c r="A2" s="12" t="inlineStr">
        <is>
          <t>US-09</t>
        </is>
      </c>
      <c r="B2" s="12" t="inlineStr">
        <is>
          <t>US-16</t>
        </is>
      </c>
      <c r="C2" s="12" t="inlineStr">
        <is>
          <t>Safe model artifacts</t>
        </is>
      </c>
      <c r="D2" s="12" t="inlineStr">
        <is>
          <t>Varnika (Member 2)</t>
        </is>
      </c>
      <c r="E2" s="12" t="inlineStr">
        <is>
          <t>Tejas (Member 3)</t>
        </is>
      </c>
      <c r="F2" s="12" t="inlineStr">
        <is>
          <t>TejasPonnappa</t>
        </is>
      </c>
    </row>
    <row r="3" ht="15" customHeight="1" s="10">
      <c r="A3" s="12" t="inlineStr">
        <is>
          <t>US-14</t>
        </is>
      </c>
      <c r="B3" s="12" t="inlineStr">
        <is>
          <t>US-38</t>
        </is>
      </c>
      <c r="C3" s="12" t="inlineStr">
        <is>
          <t>Django project skeleton</t>
        </is>
      </c>
      <c r="D3" s="12" t="inlineStr">
        <is>
          <t>Tejas (Member 3)</t>
        </is>
      </c>
      <c r="E3" s="12" t="inlineStr">
        <is>
          <t>Soumya (Member 1)</t>
        </is>
      </c>
      <c r="F3" s="12" t="inlineStr">
        <is>
          <t>KOTRASAISOUMYASRI</t>
        </is>
      </c>
    </row>
    <row r="4" ht="15" customHeight="1" s="10">
      <c r="A4" s="12" t="inlineStr">
        <is>
          <t>US-16</t>
        </is>
      </c>
      <c r="B4" s="12" t="inlineStr">
        <is>
          <t>US-40</t>
        </is>
      </c>
      <c r="C4" s="12" t="inlineStr">
        <is>
          <t>Password hashing</t>
        </is>
      </c>
      <c r="D4" s="12" t="inlineStr">
        <is>
          <t>Tejas (Member 3)</t>
        </is>
      </c>
      <c r="E4" s="12" t="inlineStr">
        <is>
          <t>Soumya (Member 1)</t>
        </is>
      </c>
      <c r="F4" s="12" t="inlineStr">
        <is>
          <t>KOTRASAISOUMYASRI</t>
        </is>
      </c>
    </row>
    <row r="5" ht="15" customHeight="1" s="10">
      <c r="A5" s="12" t="inlineStr">
        <is>
          <t>US-18</t>
        </is>
      </c>
      <c r="B5" s="12" t="inlineStr">
        <is>
          <t>US-42</t>
        </is>
      </c>
      <c r="C5" s="12" t="inlineStr">
        <is>
          <t>Sessions and login protection</t>
        </is>
      </c>
      <c r="D5" s="12" t="inlineStr">
        <is>
          <t>Tejas (Member 3)</t>
        </is>
      </c>
      <c r="E5" s="12" t="inlineStr">
        <is>
          <t>Soumya (Member 1)</t>
        </is>
      </c>
      <c r="F5" s="12" t="inlineStr">
        <is>
          <t>KOTRASAISOUMYASRI</t>
        </is>
      </c>
    </row>
    <row r="6" ht="15" customHeight="1" s="10">
      <c r="A6" s="12" t="inlineStr">
        <is>
          <t>US-29</t>
        </is>
      </c>
      <c r="B6" s="12" t="inlineStr">
        <is>
          <t>US-28</t>
        </is>
      </c>
      <c r="C6" s="12" t="inlineStr">
        <is>
          <t>Security validation</t>
        </is>
      </c>
      <c r="D6" s="12" t="inlineStr">
        <is>
          <t>Varnika (Member 2)</t>
        </is>
      </c>
      <c r="E6" s="12" t="inlineStr">
        <is>
          <t>Soumya (Member 1)</t>
        </is>
      </c>
      <c r="F6" s="12" t="inlineStr">
        <is>
          <t>KOTRASAISOUMYASRI</t>
        </is>
      </c>
    </row>
    <row r="7" ht="15" customHeight="1" s="10">
      <c r="A7" s="12" t="inlineStr">
        <is>
          <t>US-31</t>
        </is>
      </c>
      <c r="B7" s="12" t="inlineStr">
        <is>
          <t>US-30</t>
        </is>
      </c>
      <c r="C7" s="12" t="inlineStr">
        <is>
          <t>Usability test</t>
        </is>
      </c>
      <c r="D7" s="12" t="inlineStr">
        <is>
          <t>Varnika (Member 2)</t>
        </is>
      </c>
      <c r="E7" s="12" t="inlineStr">
        <is>
          <t>Tejas (Member 3)</t>
        </is>
      </c>
      <c r="F7" s="12" t="inlineStr">
        <is>
          <t>TejasPonnappa</t>
        </is>
      </c>
    </row>
    <row r="8" ht="15" customHeight="1" s="10">
      <c r="A8" s="12" t="inlineStr">
        <is>
          <t>US-39</t>
        </is>
      </c>
      <c r="B8" s="12" t="inlineStr">
        <is>
          <t>US-45</t>
        </is>
      </c>
      <c r="C8" s="12" t="inlineStr">
        <is>
          <t>Request and job limits</t>
        </is>
      </c>
      <c r="D8" s="12" t="inlineStr">
        <is>
          <t>Tejas (Member 3)</t>
        </is>
      </c>
      <c r="E8" s="12" t="inlineStr">
        <is>
          <t>Varnika (Member 2)</t>
        </is>
      </c>
      <c r="F8" s="12" t="inlineStr">
        <is>
          <t>varnikasadineni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40" customWidth="1" style="9" min="2" max="2"/>
    <col width="60" customWidth="1" style="9" min="3" max="3"/>
  </cols>
  <sheetData>
    <row r="1" ht="23.85" customHeight="1" s="10">
      <c r="A1" s="11" t="inlineStr">
        <is>
          <t>Old story ID</t>
        </is>
      </c>
      <c r="B1" s="11" t="inlineStr">
        <is>
          <t>Story</t>
        </is>
      </c>
      <c r="C1" s="11" t="inlineStr">
        <is>
          <t>Reason</t>
        </is>
      </c>
    </row>
    <row r="2" ht="23.85" customHeight="1" s="10">
      <c r="A2" s="12" t="inlineStr">
        <is>
          <t>US-06</t>
        </is>
      </c>
      <c r="B2" s="12" t="inlineStr">
        <is>
          <t>Record design deviations</t>
        </is>
      </c>
      <c r="C2" s="12" t="inlineStr">
        <is>
          <t>Deviations are recorded in the final report and deviation log story; epic Architecture &amp; Software Design (old WBMME-3) removed with it</t>
        </is>
      </c>
    </row>
    <row r="3" ht="15" customHeight="1" s="10">
      <c r="A3" s="12" t="inlineStr">
        <is>
          <t>US-01</t>
        </is>
      </c>
      <c r="B3" s="12" t="inlineStr">
        <is>
          <t>Repository, organisation and access</t>
        </is>
      </c>
      <c r="C3" s="12" t="inlineStr">
        <is>
          <t>Done at the 13 Oct checkpoint; no product value</t>
        </is>
      </c>
    </row>
    <row r="4" ht="15" customHeight="1" s="10">
      <c r="A4" s="12" t="inlineStr">
        <is>
          <t>US-02</t>
        </is>
      </c>
      <c r="B4" s="12" t="inlineStr">
        <is>
          <t>Backlog and sprint plan</t>
        </is>
      </c>
      <c r="C4" s="12" t="inlineStr">
        <is>
          <t>Done; the backlog itself is the deliverable</t>
        </is>
      </c>
    </row>
    <row r="5" ht="15" customHeight="1" s="10">
      <c r="A5" s="12" t="inlineStr">
        <is>
          <t>US-03</t>
        </is>
      </c>
      <c r="B5" s="12" t="inlineStr">
        <is>
          <t>Final SRS</t>
        </is>
      </c>
      <c r="C5" s="12" t="inlineStr">
        <is>
          <t>Document already complete and merged</t>
        </is>
      </c>
    </row>
    <row r="6" ht="15" customHeight="1" s="10">
      <c r="A6" s="12" t="inlineStr">
        <is>
          <t>US-04</t>
        </is>
      </c>
      <c r="B6" s="12" t="inlineStr">
        <is>
          <t>Keep the traceability matrix current</t>
        </is>
      </c>
      <c r="C6" s="12" t="inlineStr">
        <is>
          <t>Housekeeping; the RTM lives in the SRS, SAD and Test Plan</t>
        </is>
      </c>
    </row>
    <row r="7" ht="15" customHeight="1" s="10">
      <c r="A7" s="12" t="inlineStr">
        <is>
          <t>US-05</t>
        </is>
      </c>
      <c r="B7" s="12" t="inlineStr">
        <is>
          <t>Final SAD</t>
        </is>
      </c>
      <c r="C7" s="12" t="inlineStr">
        <is>
          <t>Document already complete and merged</t>
        </is>
      </c>
    </row>
    <row r="9" ht="15" customHeight="1" s="10">
      <c r="A9" s="14" t="inlineStr">
        <is>
          <t>Kept although not code (required by the Part-2 guidelines): US-29 and US-30 demo videos (old US-35, US-36) and US-31 final report and deviation log (old US-37). Epics removed: old WBMME-1, WBMME-2 and WBMME-3. The removed stories are closed on GitHub with the prefix [Removed].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2026-10-13T07:53:19Z</dcterms:created>
  <dcterms:modified xmlns:dcterms="http://purl.org/dc/terms/" xmlns:xsi="http://www.w3.org/2001/XMLSchema-instance" xsi:type="dcterms:W3CDTF">2026-10-24T14:52:01Z</dcterms:modified>
  <cp:revision>0</cp:revision>
</cp:coreProperties>
</file>